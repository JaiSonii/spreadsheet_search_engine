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Analysis" sheetId="1" state="visible" r:id="rId1"/>
    <sheet name="Cost Analysis" sheetId="2" state="visible" r:id="rId2"/>
    <sheet name="Efficienc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Q1 Revenue</t>
        </is>
      </c>
      <c r="C1" s="1" t="inlineStr">
        <is>
          <t>Q2 Revenue</t>
        </is>
      </c>
      <c r="D1" s="1" t="inlineStr">
        <is>
          <t>Total Revenue</t>
        </is>
      </c>
      <c r="E1" s="1" t="inlineStr">
        <is>
          <t>Gross Profit Margin</t>
        </is>
      </c>
      <c r="F1" s="1" t="inlineStr">
        <is>
          <t>Net Profit Margin</t>
        </is>
      </c>
    </row>
    <row r="2">
      <c r="A2" t="inlineStr">
        <is>
          <t>January</t>
        </is>
      </c>
      <c r="B2" t="n">
        <v>50000</v>
      </c>
      <c r="C2" t="n">
        <v>0</v>
      </c>
      <c r="D2">
        <f>B2+C2</f>
        <v/>
      </c>
      <c r="E2" t="n">
        <v>0.4</v>
      </c>
      <c r="F2">
        <f>D2*E2</f>
        <v/>
      </c>
    </row>
    <row r="3">
      <c r="A3" t="inlineStr">
        <is>
          <t>February</t>
        </is>
      </c>
      <c r="B3" t="n">
        <v>52000</v>
      </c>
      <c r="C3" t="n">
        <v>0</v>
      </c>
      <c r="D3">
        <f>B3+C3</f>
        <v/>
      </c>
      <c r="E3" t="n">
        <v>0.4</v>
      </c>
      <c r="F3">
        <f>D3*E3</f>
        <v/>
      </c>
    </row>
    <row r="4">
      <c r="A4" t="inlineStr">
        <is>
          <t>March</t>
        </is>
      </c>
      <c r="B4" t="n">
        <v>54000</v>
      </c>
      <c r="C4" t="n">
        <v>0</v>
      </c>
      <c r="D4">
        <f>B4+C4</f>
        <v/>
      </c>
      <c r="E4" t="n">
        <v>0.4</v>
      </c>
      <c r="F4">
        <f>D4*E4</f>
        <v/>
      </c>
    </row>
    <row r="5">
      <c r="A5" t="inlineStr">
        <is>
          <t>April</t>
        </is>
      </c>
      <c r="B5" t="n">
        <v>0</v>
      </c>
      <c r="C5" t="n">
        <v>56000</v>
      </c>
      <c r="D5">
        <f>B5+C5</f>
        <v/>
      </c>
      <c r="E5" t="n">
        <v>0.4</v>
      </c>
      <c r="F5">
        <f>D5*E5</f>
        <v/>
      </c>
    </row>
    <row r="6">
      <c r="A6" t="inlineStr">
        <is>
          <t>May</t>
        </is>
      </c>
      <c r="B6" t="n">
        <v>0</v>
      </c>
      <c r="C6" t="n">
        <v>58000</v>
      </c>
      <c r="D6">
        <f>B6+C6</f>
        <v/>
      </c>
      <c r="E6" t="n">
        <v>0.4</v>
      </c>
      <c r="F6">
        <f>D6*E6</f>
        <v/>
      </c>
    </row>
    <row r="7">
      <c r="A7" t="inlineStr">
        <is>
          <t>June</t>
        </is>
      </c>
      <c r="B7" t="n">
        <v>0</v>
      </c>
      <c r="C7" t="n">
        <v>60000</v>
      </c>
      <c r="D7">
        <f>B7+C7</f>
        <v/>
      </c>
      <c r="E7" t="n">
        <v>0.4</v>
      </c>
      <c r="F7">
        <f>D7*E7</f>
        <v/>
      </c>
    </row>
    <row r="9">
      <c r="A9" s="2" t="inlineStr">
        <is>
          <t>Total</t>
        </is>
      </c>
      <c r="B9">
        <f>SUM(B2:B7)</f>
        <v/>
      </c>
      <c r="C9">
        <f>SUM(C2:C7)</f>
        <v/>
      </c>
      <c r="D9">
        <f>SUM(D2:D7)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 %</t>
        </is>
      </c>
    </row>
    <row r="2">
      <c r="A2" t="inlineStr">
        <is>
          <t>Marketing</t>
        </is>
      </c>
      <c r="B2" t="n">
        <v>25000</v>
      </c>
      <c r="C2" t="n">
        <v>27000</v>
      </c>
      <c r="D2">
        <f>C2-B2</f>
        <v/>
      </c>
      <c r="E2">
        <f>D2/B2</f>
        <v/>
      </c>
    </row>
    <row r="3">
      <c r="A3" t="inlineStr">
        <is>
          <t>Operations</t>
        </is>
      </c>
      <c r="B3" t="n">
        <v>30000</v>
      </c>
      <c r="C3" t="n">
        <v>28000</v>
      </c>
      <c r="D3">
        <f>C3-B3</f>
        <v/>
      </c>
      <c r="E3">
        <f>D3/B3</f>
        <v/>
      </c>
    </row>
    <row r="4">
      <c r="A4" t="inlineStr">
        <is>
          <t>R&amp;D</t>
        </is>
      </c>
      <c r="B4" t="n">
        <v>15000</v>
      </c>
      <c r="C4" t="n">
        <v>16000</v>
      </c>
      <c r="D4">
        <f>C4-B4</f>
        <v/>
      </c>
      <c r="E4">
        <f>D4/B4</f>
        <v/>
      </c>
    </row>
    <row r="5">
      <c r="A5" t="inlineStr">
        <is>
          <t>Sales</t>
        </is>
      </c>
      <c r="B5" t="n">
        <v>20000</v>
      </c>
      <c r="C5" t="n">
        <v>19000</v>
      </c>
      <c r="D5">
        <f>C5-B5</f>
        <v/>
      </c>
      <c r="E5">
        <f>D5/B5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Calculation</t>
        </is>
      </c>
    </row>
    <row r="2">
      <c r="A2" t="inlineStr">
        <is>
          <t>ROI</t>
        </is>
      </c>
      <c r="B2">
        <f>0.25</f>
        <v/>
      </c>
      <c r="C2" t="inlineStr">
        <is>
          <t>Return on Investment</t>
        </is>
      </c>
    </row>
    <row r="3">
      <c r="A3" t="inlineStr">
        <is>
          <t>Asset Turnover</t>
        </is>
      </c>
      <c r="B3">
        <f>1.5</f>
        <v/>
      </c>
      <c r="C3" t="inlineStr">
        <is>
          <t>Revenue / Total Assets</t>
        </is>
      </c>
    </row>
    <row r="4">
      <c r="A4" t="inlineStr">
        <is>
          <t>Operating Margin</t>
        </is>
      </c>
      <c r="B4">
        <f>0.35</f>
        <v/>
      </c>
      <c r="C4" t="inlineStr">
        <is>
          <t>Operating Income / Revenue</t>
        </is>
      </c>
    </row>
    <row r="5">
      <c r="A5" t="inlineStr">
        <is>
          <t>EBITDA Margin</t>
        </is>
      </c>
      <c r="B5">
        <f>0.42</f>
        <v/>
      </c>
      <c r="C5" t="inlineStr">
        <is>
          <t>EBITDA /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2025-10-14T12:16:47Z</dcterms:created>
  <dcterms:modified xsi:type="dcterms:W3CDTF">2025-10-14T12:16:47Z</dcterms:modified>
</cp:coreProperties>
</file>